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61d4483f4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8a8a46549414297"/>
    <x:sheet xmlns:r="http://schemas.openxmlformats.org/officeDocument/2006/relationships" name="Tabiques" sheetId="2" r:id="R7c66110a269a4294"/>
    <x:sheet xmlns:r="http://schemas.openxmlformats.org/officeDocument/2006/relationships" name="Techos" sheetId="3" r:id="R2c9d02b7d1424f29"/>
    <x:sheet xmlns:r="http://schemas.openxmlformats.org/officeDocument/2006/relationships" name="Huecos" sheetId="4" r:id="R9af0b8dd46854011"/>
    <x:sheet xmlns:r="http://schemas.openxmlformats.org/officeDocument/2006/relationships" name="Supuestos" sheetId="5" r:id="R0889498138f34e31"/>
    <x:sheet xmlns:r="http://schemas.openxmlformats.org/officeDocument/2006/relationships" name="Revisiones" sheetId="6" r:id="Rd5abe7b56aa2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sz val="9"/>
      <x:color rgb="FF17342D"/>
      <x:name val="Carlito"/>
    </x:font>
    <x:font>
      <x:b/>
      <x:sz val="9"/>
      <x:color rgb="FF607069"/>
      <x:name val="Carlito"/>
    </x:font>
    <x:font>
      <x:b/>
      <x:sz val="10"/>
      <x:color rgb="FF17342D"/>
      <x:name val="Carlito"/>
    </x:font>
    <x:font>
      <x:b/>
      <x:sz val="9"/>
      <x:color rgb="FFFFFFFF"/>
      <x:name val="Carlito"/>
    </x:font>
    <x:font>
      <x:sz val="9"/>
      <x:color rgb="FF273B35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42D"/>
      </x:patternFill>
    </x:fill>
    <x:fill>
      <x:patternFill patternType="solid">
        <x:fgColor rgb="FFE7F1ED"/>
      </x:patternFill>
    </x:fill>
    <x:fill>
      <x:patternFill patternType="solid">
        <x:fgColor rgb="FFF6F7F4"/>
      </x:patternFill>
    </x:fill>
    <x:fill>
      <x:patternFill patternType="solid">
        <x:fgColor rgb="FF1C7A65"/>
      </x:patternFill>
    </x:fill>
    <x:fill>
      <x:patternFill patternType="solid">
        <x:fgColor rgb="FFE35E38"/>
      </x:patternFill>
    </x:fill>
  </x:fills>
  <x:borders count="7">
    <x:border/>
    <x:border>
      <x:left style="thin">
        <x:color rgb="FF1C7A65"/>
      </x:left>
      <x:top style="thin">
        <x:color rgb="FF1C7A65"/>
      </x:top>
      <x:bottom style="thin">
        <x:color rgb="FF1C7A65"/>
      </x:bottom>
    </x:border>
    <x:border>
      <x:top style="thin">
        <x:color rgb="FF1C7A65"/>
      </x:top>
      <x:bottom style="thin">
        <x:color rgb="FF1C7A65"/>
      </x:bottom>
    </x:border>
    <x:border>
      <x:right style="thin">
        <x:color rgb="FF1C7A65"/>
      </x:right>
      <x:top style="thin">
        <x:color rgb="FF1C7A65"/>
      </x:top>
      <x:bottom style="thin">
        <x:color rgb="FF1C7A65"/>
      </x:bottom>
    </x:border>
    <x:border>
      <x:bottom style="thin">
        <x:color rgb="FFD8E0DC"/>
      </x:bottom>
    </x:border>
    <x:border>
      <x:top style="thin">
        <x:color rgb="FFD8E0DC"/>
      </x:top>
      <x:bottom style="thin">
        <x:color rgb="FFD8E0DC"/>
      </x:bottom>
    </x:border>
    <x:border>
      <x:top style="thin">
        <x:color rgb="FFD8E0DC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1" fontId="6" fillId="3" borderId="4" xfId="0" applyNumberFormat="1" applyFont="1" applyFill="1" applyBorder="1" applyAlignment="1">
      <x:alignment vertical="center"/>
    </x:xf>
    <x:xf numFmtId="201" fontId="6" fillId="3" borderId="5" xfId="0" applyNumberFormat="1" applyFont="1" applyFill="1" applyBorder="1" applyAlignment="1">
      <x:alignment vertical="center"/>
    </x:xf>
    <x:xf numFmtId="202" fontId="6" fillId="3" borderId="6" xfId="0" applyNumberFormat="1" applyFont="1" applyFill="1" applyBorder="1" applyAlignment="1">
      <x:alignment vertical="center"/>
    </x:xf>
    <x:xf numFmtId="201" fontId="4" fillId="3" borderId="4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202" fontId="4" fillId="3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201" fontId="6" fillId="0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0f758d3a34199" /><Relationship Type="http://schemas.openxmlformats.org/officeDocument/2006/relationships/theme" Target="/xl/theme/theme1.xml" Id="R5ecd5b2f8f1b4cca" /><Relationship Type="http://schemas.openxmlformats.org/officeDocument/2006/relationships/sharedStrings" Target="/xl/sharedStrings.xml" Id="R4fb5a7adcdc7423a" /><Relationship Type="http://schemas.openxmlformats.org/officeDocument/2006/relationships/worksheet" Target="/xl/worksheets/sheet1.xml" Id="R78a8a46549414297" /><Relationship Type="http://schemas.openxmlformats.org/officeDocument/2006/relationships/worksheet" Target="/xl/worksheets/sheet2.xml" Id="R7c66110a269a4294" /><Relationship Type="http://schemas.openxmlformats.org/officeDocument/2006/relationships/worksheet" Target="/xl/worksheets/sheet3.xml" Id="R2c9d02b7d1424f29" /><Relationship Type="http://schemas.openxmlformats.org/officeDocument/2006/relationships/worksheet" Target="/xl/worksheets/sheet4.xml" Id="R9af0b8dd46854011" /><Relationship Type="http://schemas.openxmlformats.org/officeDocument/2006/relationships/worksheet" Target="/xl/worksheets/sheet5.xml" Id="R0889498138f34e31" /><Relationship Type="http://schemas.openxmlformats.org/officeDocument/2006/relationships/worksheet" Target="/xl/worksheets/sheet6.xml" Id="Rd5abe7b56aa2411a" /></Relationships>
</file>

<file path=xl/tables/table1.xml><?xml version="1.0" encoding="utf-8"?>
<x:table xmlns:x="http://schemas.openxmlformats.org/spreadsheetml/2006/main" id="1" name="TabiquesTable" displayName="TabiquesTable" ref="A4:L7" headerRowCount="1" totalsRowCount="0" totalsRowShown="0">
  <x:tableColumns count="12">
    <x:tableColumn id="1" name="Planta"/>
    <x:tableColumn id="2" name="Plano fuente"/>
    <x:tableColumn id="3" name="ID medicion"/>
    <x:tableColumn id="4" name="Tipo"/>
    <x:tableColumn id="5" name="Descripcion"/>
    <x:tableColumn id="6" name="Longitud (m)"/>
    <x:tableColumn id="7" name="Altura (m)"/>
    <x:tableColumn id="8" name="Area bruta 1 cara (m²)"/>
    <x:tableColumn id="9" name="Deduccion huecos (m²)"/>
    <x:tableColumn id="10" name="Area neta 1 cara (m²)"/>
    <x:tableColumn id="11" name="Area neta 2 caras (m²)"/>
    <x:tableColumn id="12" name="Nota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echosTable" displayName="TechosTable" ref="A4:H6" headerRowCount="1" totalsRowCount="0" totalsRowShown="0">
  <x:tableColumns count="8">
    <x:tableColumn id="1" name="Planta"/>
    <x:tableColumn id="2" name="Plano fuente"/>
    <x:tableColumn id="3" name="ID medicion"/>
    <x:tableColumn id="4" name="Tipo"/>
    <x:tableColumn id="5" name="Descripcion"/>
    <x:tableColumn id="6" name="Area (m²)"/>
    <x:tableColumn id="7" name="Perimetro (m)"/>
    <x:tableColumn id="8" name="Nota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uecosTable" displayName="HuecosTable" ref="A4:J7" headerRowCount="1" totalsRowCount="0" totalsRowShown="0">
  <x:tableColumns count="10">
    <x:tableColumn id="1" name="Planta"/>
    <x:tableColumn id="2" name="Plano fuente"/>
    <x:tableColumn id="3" name="ID hueco"/>
    <x:tableColumn id="4" name="Tipo"/>
    <x:tableColumn id="5" name="Cantidad"/>
    <x:tableColumn id="6" name="Ancho (m)"/>
    <x:tableColumn id="7" name="Alto (m)"/>
    <x:tableColumn id="8" name="Area deducida (m²)"/>
    <x:tableColumn id="9" name="Tipo de muro"/>
    <x:tableColumn id="10" name="Nota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upuestosTable" displayName="SupuestosTable" ref="A4:E7" headerRowCount="1" totalsRowCount="0" totalsRowShown="0">
  <x:tableColumns count="5">
    <x:tableColumn id="1" name="Condicion poco clara"/>
    <x:tableColumn id="2" name="Interpretacion utilizada"/>
    <x:tableColumn id="3" name="Plano / zona afectada"/>
    <x:tableColumn id="4" name="Confirmacion del cliente"/>
    <x:tableColumn id="5" name="Tip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148d226e8847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5cc5941e7b48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4ce78151b349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4101d99e0b44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31" hidden="0" customWidth="1"/>
    <x:col min="5" max="5" width="16" hidden="0" customWidth="1"/>
    <x:col min="6" max="6" width="12" hidden="0" customWidth="1"/>
  </x:cols>
  <x:sheetData>
    <x:row r="1" ht="34" customHeight="1">
      <x:c r="A1" s="3" t="str">
        <x:v>CUADRABOT · MEDICION DE PLADUR</x:v>
      </x:c>
      <x:c r="B1" s="3" t="str">
        <x:v>CUADRABOT · MEDICION DE PLADUR</x:v>
      </x:c>
      <x:c r="C1" s="3" t="str">
        <x:v>CUADRABOT · MEDICION DE PLADUR</x:v>
      </x:c>
      <x:c r="D1" s="3" t="str">
        <x:v>CUADRABOT · MEDICION DE PLADUR</x:v>
      </x:c>
      <x:c r="E1" s="3" t="str">
        <x:v>CUADRABOT · MEDICION DE PLADUR</x:v>
      </x:c>
      <x:c r="F1" s="3" t="str">
        <x:v>CUADRABOT · MEDICION DE PLADUR</x:v>
      </x:c>
    </x:row>
    <x:row r="2" ht="26" customHeight="1">
      <x:c r="A2" s="6" t="str">
        <x:v>Proyecto de muestra · Politica de medicion PLADUR-ES-1.0 · Unidades metricas</x:v>
      </x:c>
      <x:c r="B2" s="6" t="str">
        <x:v>Proyecto de muestra · Politica de medicion PLADUR-ES-1.0 · Unidades metricas</x:v>
      </x:c>
      <x:c r="C2" s="6" t="str">
        <x:v>Proyecto de muestra · Politica de medicion PLADUR-ES-1.0 · Unidades metricas</x:v>
      </x:c>
      <x:c r="D2" s="6" t="str">
        <x:v>Proyecto de muestra · Politica de medicion PLADUR-ES-1.0 · Unidades metricas</x:v>
      </x:c>
      <x:c r="E2" s="6" t="str">
        <x:v>Proyecto de muestra · Politica de medicion PLADUR-ES-1.0 · Unidades metricas</x:v>
      </x:c>
      <x:c r="F2" s="6" t="str">
        <x:v>Proyecto de muestra · Politica de medicion PLADUR-ES-1.0 · Unidades metricas</x:v>
      </x:c>
    </x:row>
    <x:row r="4" ht="32" customHeight="1">
      <x:c r="A4" s="8" t="str">
        <x:v>Proyecto</x:v>
      </x:c>
      <x:c r="B4" s="9" t="str">
        <x:v>Oficinas Castellana</x:v>
      </x:c>
      <x:c r="D4" s="19" t="str">
        <x:v>Indicador</x:v>
      </x:c>
      <x:c r="E4" s="20" t="str">
        <x:v>Total</x:v>
      </x:c>
      <x:c r="F4" s="21" t="str">
        <x:v>Unidad</x:v>
      </x:c>
    </x:row>
    <x:row r="5" ht="25" customHeight="1">
      <x:c r="A5" s="8" t="str">
        <x:v>Pedido</x:v>
      </x:c>
      <x:c r="B5" s="9" t="str">
        <x:v>CB-260829-0149</x:v>
      </x:c>
      <x:c r="D5" s="26" t="str">
        <x:v>Longitud total de tabiques</x:v>
      </x:c>
      <x:c r="E5" s="35" t="n">
        <x:f>SUM('Tabiques'!F5:F7)</x:f>
        <x:v>86.42</x:v>
      </x:c>
      <x:c r="F5" s="26" t="str">
        <x:v>m</x:v>
      </x:c>
    </x:row>
    <x:row r="6" ht="25" customHeight="1">
      <x:c r="A6" s="8" t="str">
        <x:v>Empresa</x:v>
      </x:c>
      <x:c r="B6" s="9" t="str">
        <x:v>Constructora Demo SL</x:v>
      </x:c>
      <x:c r="D6" s="27" t="str">
        <x:v>Superficie bruta (una cara)</x:v>
      </x:c>
      <x:c r="E6" s="36" t="n">
        <x:f>SUM('Tabiques'!H5:H7)</x:f>
        <x:v>235.199</x:v>
      </x:c>
      <x:c r="F6" s="27" t="str">
        <x:v>m²</x:v>
      </x:c>
    </x:row>
    <x:row r="7" ht="25" customHeight="1">
      <x:c r="A7" s="8" t="str">
        <x:v>Ubicacion</x:v>
      </x:c>
      <x:c r="B7" s="9" t="str">
        <x:v>Madrid</x:v>
      </x:c>
      <x:c r="D7" s="27" t="str">
        <x:v>Superficie neta (una cara)</x:v>
      </x:c>
      <x:c r="E7" s="36" t="n">
        <x:f>SUM('Tabiques'!J5:J7)</x:f>
        <x:v>221.949</x:v>
      </x:c>
      <x:c r="F7" s="27" t="str">
        <x:v>m²</x:v>
      </x:c>
    </x:row>
    <x:row r="8" ht="25" customHeight="1">
      <x:c r="A8" s="8" t="str">
        <x:v>Revision de planos</x:v>
      </x:c>
      <x:c r="B8" s="9" t="str">
        <x:v>Rev. 03</x:v>
      </x:c>
      <x:c r="D8" s="27" t="str">
        <x:v>Superficie neta (dos caras)</x:v>
      </x:c>
      <x:c r="E8" s="36" t="n">
        <x:f>SUM('Tabiques'!K5:K7)</x:f>
        <x:v>443.898</x:v>
      </x:c>
      <x:c r="F8" s="27" t="str">
        <x:v>m²</x:v>
      </x:c>
    </x:row>
    <x:row r="9" ht="25" customHeight="1">
      <x:c r="A9" s="8" t="str">
        <x:v>Version de entrega</x:v>
      </x:c>
      <x:c r="B9" s="9" t="n">
        <x:v>1</x:v>
      </x:c>
      <x:c r="D9" s="27" t="str">
        <x:v>Superficie total de techos</x:v>
      </x:c>
      <x:c r="E9" s="36" t="n">
        <x:f>SUM('Techos'!F5:F6)</x:f>
        <x:v>164.8</x:v>
      </x:c>
      <x:c r="F9" s="27" t="str">
        <x:v>m²</x:v>
      </x:c>
    </x:row>
    <x:row r="10" ht="25" customHeight="1">
      <x:c r="A10" s="8" t="str">
        <x:v>Fecha completada</x:v>
      </x:c>
      <x:c r="B10" s="10" t="n">
        <x:v>46263</x:v>
      </x:c>
      <x:c r="D10" s="27" t="str">
        <x:v>Perimetro total de techos</x:v>
      </x:c>
      <x:c r="E10" s="36" t="n">
        <x:f>SUM('Techos'!G5:G6)</x:f>
        <x:v>85.85</x:v>
      </x:c>
      <x:c r="F10" s="27" t="str">
        <x:v>m</x:v>
      </x:c>
    </x:row>
    <x:row r="11" ht="25" customHeight="1">
      <x:c r="D11" s="28" t="str">
        <x:v>Huecos contabilizados</x:v>
      </x:c>
      <x:c r="E11" s="37" t="n">
        <x:f>SUM('Huecos'!E5:E7)</x:f>
        <x:v>4</x:v>
      </x:c>
      <x:c r="F11" s="28" t="str">
        <x:v>uds</x:v>
      </x:c>
    </x:row>
    <x:row r="13">
      <x:c r="A13" s="39" t="str">
        <x:v>CRITERIOS IMPORTANTES</x:v>
      </x:c>
      <x:c r="B13" s="39" t="str">
        <x:v>CRITERIOS IMPORTANTES</x:v>
      </x:c>
      <x:c r="C13" s="39" t="str">
        <x:v>CRITERIOS IMPORTANTES</x:v>
      </x:c>
      <x:c r="D13" s="39" t="str">
        <x:v>CRITERIOS IMPORTANTES</x:v>
      </x:c>
      <x:c r="E13" s="39" t="str">
        <x:v>CRITERIOS IMPORTANTES</x:v>
      </x:c>
      <x:c r="F13" s="39" t="str">
        <x:v>CRITERIOS IMPORTANTES</x:v>
      </x:c>
    </x:row>
    <x:row r="14" ht="34" customHeight="1">
      <x:c r="A14" s="44" t="str">
        <x:v>Supuesto principal: altura 2,70 m aplicada a P-003 por ausencia de seccion acotada; afecta al distribuidor y queda pendiente de confirmacion.</x:v>
      </x:c>
      <x:c r="B14" s="44"/>
      <x:c r="C14" s="44"/>
      <x:c r="D14" s="44"/>
      <x:c r="E14" s="44"/>
      <x:c r="F14" s="44"/>
    </x:row>
    <x:row r="15" ht="34" customHeight="1">
      <x:c r="A15" s="45" t="str">
        <x:v>Exclusion principal: mobiliario, trasdosados existentes, nucleo de ascensores y cualquier partida ajena a tabiques o techos de placa de yeso.</x:v>
      </x:c>
      <x:c r="B15" s="45"/>
      <x:c r="C15" s="45"/>
      <x:c r="D15" s="45"/>
      <x:c r="E15" s="45"/>
      <x:c r="F15" s="45"/>
    </x:row>
    <x:row r="16" ht="34" customHeight="1">
      <x:c r="A16" s="46" t="str">
        <x:v>Regla de huecos: se deducen del area, permanecen en la longitud lineal y se registran por separado.</x:v>
      </x:c>
      <x:c r="B16" s="46"/>
      <x:c r="C16" s="46"/>
      <x:c r="D16" s="46"/>
      <x:c r="E16" s="46"/>
      <x:c r="F16" s="46"/>
    </x:row>
  </x:sheetData>
  <x:mergeCells>
    <x:mergeCell ref="A1:F1"/>
    <x:mergeCell ref="A2:F2"/>
    <x:mergeCell ref="A13:F13"/>
    <x:mergeCell ref="A14:F14"/>
    <x:mergeCell ref="A15:F1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1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8" hidden="0" customWidth="1"/>
  </x:cols>
  <x:sheetData>
    <x:row r="1" ht="34" customHeight="1">
      <x:c r="A1" s="3" t="str">
        <x:v>DETALLE DE TABIQUES</x:v>
      </x:c>
      <x:c r="B1" s="3" t="str">
        <x:v>DETALLE DE TABIQUES</x:v>
      </x:c>
      <x:c r="C1" s="3" t="str">
        <x:v>DETALLE DE TABIQUES</x:v>
      </x:c>
      <x:c r="D1" s="3" t="str">
        <x:v>DETALLE DE TABIQUES</x:v>
      </x:c>
      <x:c r="E1" s="3" t="str">
        <x:v>DETALLE DE TABIQUES</x:v>
      </x:c>
      <x:c r="F1" s="3" t="str">
        <x:v>DETALLE DE TABIQUES</x:v>
      </x:c>
      <x:c r="G1" s="3" t="str">
        <x:v>DETALLE DE TABIQUES</x:v>
      </x:c>
      <x:c r="H1" s="3" t="str">
        <x:v>DETALLE DE TABIQUES</x:v>
      </x:c>
      <x:c r="I1" s="3" t="str">
        <x:v>DETALLE DE TABIQUES</x:v>
      </x:c>
      <x:c r="J1" s="3" t="str">
        <x:v>DETALLE DE TABIQUES</x:v>
      </x:c>
      <x:c r="K1" s="3" t="str">
        <x:v>DETALLE DE TABIQUES</x:v>
      </x:c>
      <x:c r="L1" s="3" t="str">
        <x:v>DETALLE DE TABIQUES</x:v>
      </x:c>
    </x:row>
    <x:row r="2" ht="26" customHeight="1">
      <x:c r="A2" s="6" t="str">
        <x:v>Longitud al eje · Huecos deducidos del area · Areas a una y dos caras</x:v>
      </x:c>
      <x:c r="B2" s="6" t="str">
        <x:v>Longitud al eje · Huecos deducidos del area · Areas a una y dos caras</x:v>
      </x:c>
      <x:c r="C2" s="6" t="str">
        <x:v>Longitud al eje · Huecos deducidos del area · Areas a una y dos caras</x:v>
      </x:c>
      <x:c r="D2" s="6" t="str">
        <x:v>Longitud al eje · Huecos deducidos del area · Areas a una y dos caras</x:v>
      </x:c>
      <x:c r="E2" s="6" t="str">
        <x:v>Longitud al eje · Huecos deducidos del area · Areas a una y dos caras</x:v>
      </x:c>
      <x:c r="F2" s="6" t="str">
        <x:v>Longitud al eje · Huecos deducidos del area · Areas a una y dos caras</x:v>
      </x:c>
      <x:c r="G2" s="6" t="str">
        <x:v>Longitud al eje · Huecos deducidos del area · Areas a una y dos caras</x:v>
      </x:c>
      <x:c r="H2" s="6" t="str">
        <x:v>Longitud al eje · Huecos deducidos del area · Areas a una y dos caras</x:v>
      </x:c>
      <x:c r="I2" s="6" t="str">
        <x:v>Longitud al eje · Huecos deducidos del area · Areas a una y dos caras</x:v>
      </x:c>
      <x:c r="J2" s="6" t="str">
        <x:v>Longitud al eje · Huecos deducidos del area · Areas a una y dos caras</x:v>
      </x:c>
      <x:c r="K2" s="6" t="str">
        <x:v>Longitud al eje · Huecos deducidos del area · Areas a una y dos caras</x:v>
      </x:c>
      <x:c r="L2" s="6" t="str">
        <x:v>Longitud al eje · Huecos deducidos del area · Areas a una y dos caras</x:v>
      </x:c>
    </x:row>
    <x:row r="4" ht="32" customHeight="1">
      <x:c r="A4" s="19" t="str">
        <x:v>Planta</x:v>
      </x:c>
      <x:c r="B4" s="20" t="str">
        <x:v>Plano fuente</x:v>
      </x:c>
      <x:c r="C4" s="20" t="str">
        <x:v>ID medicion</x:v>
      </x:c>
      <x:c r="D4" s="20" t="str">
        <x:v>Tipo</x:v>
      </x:c>
      <x:c r="E4" s="20" t="str">
        <x:v>Descripcion</x:v>
      </x:c>
      <x:c r="F4" s="20" t="str">
        <x:v>Longitud (m)</x:v>
      </x:c>
      <x:c r="G4" s="20" t="str">
        <x:v>Altura (m)</x:v>
      </x:c>
      <x:c r="H4" s="20" t="str">
        <x:v>Area bruta 1 cara (m²)</x:v>
      </x:c>
      <x:c r="I4" s="20" t="str">
        <x:v>Deduccion huecos (m²)</x:v>
      </x:c>
      <x:c r="J4" s="20" t="str">
        <x:v>Area neta 1 cara (m²)</x:v>
      </x:c>
      <x:c r="K4" s="20" t="str">
        <x:v>Area neta 2 caras (m²)</x:v>
      </x:c>
      <x:c r="L4" s="21" t="str">
        <x:v>Notas</x:v>
      </x:c>
    </x:row>
    <x:row r="5" ht="25" customHeight="1">
      <x:c r="A5" s="26" t="str">
        <x:v>Planta baja</x:v>
      </x:c>
      <x:c r="B5" s="26" t="str">
        <x:v>A-101</x:v>
      </x:c>
      <x:c r="C5" s="26" t="str">
        <x:v>P-001</x:v>
      </x:c>
      <x:c r="D5" s="26" t="str">
        <x:v>T1</x:v>
      </x:c>
      <x:c r="E5" s="26" t="str">
        <x:v>Tabique 98 mm, doble placa</x:v>
      </x:c>
      <x:c r="F5" s="29" t="n">
        <x:v>24.8</x:v>
      </x:c>
      <x:c r="G5" s="29" t="n">
        <x:v>2.7</x:v>
      </x:c>
      <x:c r="H5" s="29" t="n">
        <x:f>F5*G5</x:f>
        <x:v>66.96000000000001</x:v>
      </x:c>
      <x:c r="I5" s="29" t="n">
        <x:v>4.2</x:v>
      </x:c>
      <x:c r="J5" s="29" t="n">
        <x:f>H5-I5</x:f>
        <x:v>62.760000000000005</x:v>
      </x:c>
      <x:c r="K5" s="29" t="n">
        <x:f>J5*2</x:f>
        <x:v>125.52000000000001</x:v>
      </x:c>
      <x:c r="L5" s="26" t="str">
        <x:v>Altura de cuadro de tipos</x:v>
      </x:c>
    </x:row>
    <x:row r="6" ht="25" customHeight="1">
      <x:c r="A6" s="27" t="str">
        <x:v>Planta baja</x:v>
      </x:c>
      <x:c r="B6" s="27" t="str">
        <x:v>A-101</x:v>
      </x:c>
      <x:c r="C6" s="27" t="str">
        <x:v>P-002</x:v>
      </x:c>
      <x:c r="D6" s="27" t="str">
        <x:v>T2</x:v>
      </x:c>
      <x:c r="E6" s="27" t="str">
        <x:v>Tabique 125 mm reforzado</x:v>
      </x:c>
      <x:c r="F6" s="30" t="n">
        <x:v>18.65</x:v>
      </x:c>
      <x:c r="G6" s="30" t="n">
        <x:v>2.8</x:v>
      </x:c>
      <x:c r="H6" s="30" t="n">
        <x:f>F6*G6</x:f>
        <x:v>52.21999999999999</x:v>
      </x:c>
      <x:c r="I6" s="30" t="n">
        <x:v>7.13</x:v>
      </x:c>
      <x:c r="J6" s="30" t="n">
        <x:f>H6-I6</x:f>
        <x:v>45.08999999999999</x:v>
      </x:c>
      <x:c r="K6" s="30" t="n">
        <x:f>J6*2</x:f>
        <x:v>90.17999999999998</x:v>
      </x:c>
      <x:c r="L6" s="27" t="str">
        <x:v>Altura de seccion S-201</x:v>
      </x:c>
    </x:row>
    <x:row r="7" ht="25" customHeight="1">
      <x:c r="A7" s="28" t="str">
        <x:v>Planta primera</x:v>
      </x:c>
      <x:c r="B7" s="28" t="str">
        <x:v>A-102</x:v>
      </x:c>
      <x:c r="C7" s="28" t="str">
        <x:v>P-003</x:v>
      </x:c>
      <x:c r="D7" s="28" t="str">
        <x:v>T3</x:v>
      </x:c>
      <x:c r="E7" s="28" t="str">
        <x:v>Tabique acustico 146 mm</x:v>
      </x:c>
      <x:c r="F7" s="47" t="n">
        <x:v>42.97</x:v>
      </x:c>
      <x:c r="G7" s="47" t="n">
        <x:v>2.7</x:v>
      </x:c>
      <x:c r="H7" s="47" t="n">
        <x:f>F7*G7</x:f>
        <x:v>116.019</x:v>
      </x:c>
      <x:c r="I7" s="47" t="n">
        <x:v>1.92</x:v>
      </x:c>
      <x:c r="J7" s="47" t="n">
        <x:f>H7-I7</x:f>
        <x:v>114.099</x:v>
      </x:c>
      <x:c r="K7" s="47" t="n">
        <x:f>J7*2</x:f>
        <x:v>228.198</x:v>
      </x:c>
      <x:c r="L7" s="28" t="str">
        <x:v>Altura asumida; ver Supuestos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9148d226e8847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28" hidden="0" customWidth="1"/>
  </x:cols>
  <x:sheetData>
    <x:row r="1" ht="34" customHeight="1">
      <x:c r="A1" s="3" t="str">
        <x:v>DETALLE DE TECHOS</x:v>
      </x:c>
      <x:c r="B1" s="3" t="str">
        <x:v>DETALLE DE TECHOS</x:v>
      </x:c>
      <x:c r="C1" s="3" t="str">
        <x:v>DETALLE DE TECHOS</x:v>
      </x:c>
      <x:c r="D1" s="3" t="str">
        <x:v>DETALLE DE TECHOS</x:v>
      </x:c>
      <x:c r="E1" s="3" t="str">
        <x:v>DETALLE DE TECHOS</x:v>
      </x:c>
      <x:c r="F1" s="3" t="str">
        <x:v>DETALLE DE TECHOS</x:v>
      </x:c>
      <x:c r="G1" s="3" t="str">
        <x:v>DETALLE DE TECHOS</x:v>
      </x:c>
      <x:c r="H1" s="3" t="str">
        <x:v>DETALLE DE TECHOS</x:v>
      </x:c>
    </x:row>
    <x:row r="2" ht="26" customHeight="1">
      <x:c r="A2" s="6" t="str">
        <x:v>Superficies y perimetros medidos desde planos de falsos techos identificados</x:v>
      </x:c>
      <x:c r="B2" s="6" t="str">
        <x:v>Superficies y perimetros medidos desde planos de falsos techos identificados</x:v>
      </x:c>
      <x:c r="C2" s="6" t="str">
        <x:v>Superficies y perimetros medidos desde planos de falsos techos identificados</x:v>
      </x:c>
      <x:c r="D2" s="6" t="str">
        <x:v>Superficies y perimetros medidos desde planos de falsos techos identificados</x:v>
      </x:c>
      <x:c r="E2" s="6" t="str">
        <x:v>Superficies y perimetros medidos desde planos de falsos techos identificados</x:v>
      </x:c>
      <x:c r="F2" s="6" t="str">
        <x:v>Superficies y perimetros medidos desde planos de falsos techos identificados</x:v>
      </x:c>
      <x:c r="G2" s="6" t="str">
        <x:v>Superficies y perimetros medidos desde planos de falsos techos identificados</x:v>
      </x:c>
      <x:c r="H2" s="6" t="str">
        <x:v>Superficies y perimetros medidos desde planos de falsos techos identificados</x:v>
      </x:c>
    </x:row>
    <x:row r="4" ht="32" customHeight="1">
      <x:c r="A4" s="19" t="str">
        <x:v>Planta</x:v>
      </x:c>
      <x:c r="B4" s="20" t="str">
        <x:v>Plano fuente</x:v>
      </x:c>
      <x:c r="C4" s="20" t="str">
        <x:v>ID medicion</x:v>
      </x:c>
      <x:c r="D4" s="20" t="str">
        <x:v>Tipo</x:v>
      </x:c>
      <x:c r="E4" s="20" t="str">
        <x:v>Descripcion</x:v>
      </x:c>
      <x:c r="F4" s="20" t="str">
        <x:v>Area (m²)</x:v>
      </x:c>
      <x:c r="G4" s="20" t="str">
        <x:v>Perimetro (m)</x:v>
      </x:c>
      <x:c r="H4" s="21" t="str">
        <x:v>Notas</x:v>
      </x:c>
    </x:row>
    <x:row r="5" ht="25" customHeight="1">
      <x:c r="A5" s="26" t="str">
        <x:v>Planta baja</x:v>
      </x:c>
      <x:c r="B5" s="26" t="str">
        <x:v>A-121</x:v>
      </x:c>
      <x:c r="C5" s="26" t="str">
        <x:v>C-001</x:v>
      </x:c>
      <x:c r="D5" s="26" t="str">
        <x:v>TC1</x:v>
      </x:c>
      <x:c r="E5" s="26" t="str">
        <x:v>Techo continuo placa 13 mm</x:v>
      </x:c>
      <x:c r="F5" s="29" t="n">
        <x:v>96.35</x:v>
      </x:c>
      <x:c r="G5" s="29" t="n">
        <x:v>48.2</x:v>
      </x:c>
      <x:c r="H5" s="26" t="str">
        <x:v>RCP escala 1:100</x:v>
      </x:c>
    </x:row>
    <x:row r="6" ht="25" customHeight="1">
      <x:c r="A6" s="28" t="str">
        <x:v>Planta primera</x:v>
      </x:c>
      <x:c r="B6" s="28" t="str">
        <x:v>A-122</x:v>
      </x:c>
      <x:c r="C6" s="28" t="str">
        <x:v>C-002</x:v>
      </x:c>
      <x:c r="D6" s="28" t="str">
        <x:v>TC2</x:v>
      </x:c>
      <x:c r="E6" s="28" t="str">
        <x:v>Techo acustico perforado</x:v>
      </x:c>
      <x:c r="F6" s="47" t="n">
        <x:v>68.45</x:v>
      </x:c>
      <x:c r="G6" s="47" t="n">
        <x:v>37.65</x:v>
      </x:c>
      <x:c r="H6" s="28" t="str">
        <x:v>RCP escala 1:100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e5cc5941e7b48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</x:cols>
  <x:sheetData>
    <x:row r="1" ht="34" customHeight="1">
      <x:c r="A1" s="3" t="str">
        <x:v>HUECOS</x:v>
      </x:c>
      <x:c r="B1" s="3" t="str">
        <x:v>HUECOS</x:v>
      </x:c>
      <x:c r="C1" s="3" t="str">
        <x:v>HUECOS</x:v>
      </x:c>
      <x:c r="D1" s="3" t="str">
        <x:v>HUECOS</x:v>
      </x:c>
      <x:c r="E1" s="3" t="str">
        <x:v>HUECOS</x:v>
      </x:c>
      <x:c r="F1" s="3" t="str">
        <x:v>HUECOS</x:v>
      </x:c>
      <x:c r="G1" s="3" t="str">
        <x:v>HUECOS</x:v>
      </x:c>
      <x:c r="H1" s="3" t="str">
        <x:v>HUECOS</x:v>
      </x:c>
      <x:c r="I1" s="3" t="str">
        <x:v>HUECOS</x:v>
      </x:c>
      <x:c r="J1" s="3" t="str">
        <x:v>HUECOS</x:v>
      </x:c>
    </x:row>
    <x:row r="2" ht="26" customHeight="1">
      <x:c r="A2" s="6" t="str">
        <x:v>Huecos claramente dimensionados registrados por separado</x:v>
      </x:c>
      <x:c r="B2" s="6" t="str">
        <x:v>Huecos claramente dimensionados registrados por separado</x:v>
      </x:c>
      <x:c r="C2" s="6" t="str">
        <x:v>Huecos claramente dimensionados registrados por separado</x:v>
      </x:c>
      <x:c r="D2" s="6" t="str">
        <x:v>Huecos claramente dimensionados registrados por separado</x:v>
      </x:c>
      <x:c r="E2" s="6" t="str">
        <x:v>Huecos claramente dimensionados registrados por separado</x:v>
      </x:c>
      <x:c r="F2" s="6" t="str">
        <x:v>Huecos claramente dimensionados registrados por separado</x:v>
      </x:c>
      <x:c r="G2" s="6" t="str">
        <x:v>Huecos claramente dimensionados registrados por separado</x:v>
      </x:c>
      <x:c r="H2" s="6" t="str">
        <x:v>Huecos claramente dimensionados registrados por separado</x:v>
      </x:c>
      <x:c r="I2" s="6" t="str">
        <x:v>Huecos claramente dimensionados registrados por separado</x:v>
      </x:c>
      <x:c r="J2" s="6" t="str">
        <x:v>Huecos claramente dimensionados registrados por separado</x:v>
      </x:c>
    </x:row>
    <x:row r="4" ht="32" customHeight="1">
      <x:c r="A4" s="19" t="str">
        <x:v>Planta</x:v>
      </x:c>
      <x:c r="B4" s="20" t="str">
        <x:v>Plano fuente</x:v>
      </x:c>
      <x:c r="C4" s="20" t="str">
        <x:v>ID hueco</x:v>
      </x:c>
      <x:c r="D4" s="20" t="str">
        <x:v>Tipo</x:v>
      </x:c>
      <x:c r="E4" s="20" t="str">
        <x:v>Cantidad</x:v>
      </x:c>
      <x:c r="F4" s="20" t="str">
        <x:v>Ancho (m)</x:v>
      </x:c>
      <x:c r="G4" s="20" t="str">
        <x:v>Alto (m)</x:v>
      </x:c>
      <x:c r="H4" s="20" t="str">
        <x:v>Area deducida (m²)</x:v>
      </x:c>
      <x:c r="I4" s="20" t="str">
        <x:v>Tipo de muro</x:v>
      </x:c>
      <x:c r="J4" s="21" t="str">
        <x:v>Notas</x:v>
      </x:c>
    </x:row>
    <x:row r="5" ht="25" customHeight="1">
      <x:c r="A5" s="26" t="str">
        <x:v>Planta baja</x:v>
      </x:c>
      <x:c r="B5" s="26" t="str">
        <x:v>A-101</x:v>
      </x:c>
      <x:c r="C5" s="26" t="str">
        <x:v>O-001</x:v>
      </x:c>
      <x:c r="D5" s="26" t="str">
        <x:v>Puerta</x:v>
      </x:c>
      <x:c r="E5" s="26" t="n">
        <x:v>2</x:v>
      </x:c>
      <x:c r="F5" s="29" t="n">
        <x:v>0.9</x:v>
      </x:c>
      <x:c r="G5" s="29" t="n">
        <x:v>2.1</x:v>
      </x:c>
      <x:c r="H5" s="29" t="n">
        <x:f>E5*F5*G5</x:f>
        <x:v>3.7800000000000002</x:v>
      </x:c>
      <x:c r="I5" s="26" t="str">
        <x:v>T1</x:v>
      </x:c>
      <x:c r="J5" s="26" t="str">
        <x:v>Dos puertas P01</x:v>
      </x:c>
    </x:row>
    <x:row r="6" ht="25" customHeight="1">
      <x:c r="A6" s="27" t="str">
        <x:v>Planta baja</x:v>
      </x:c>
      <x:c r="B6" s="27" t="str">
        <x:v>A-101</x:v>
      </x:c>
      <x:c r="C6" s="27" t="str">
        <x:v>O-002</x:v>
      </x:c>
      <x:c r="D6" s="27" t="str">
        <x:v>Mampara acristalada</x:v>
      </x:c>
      <x:c r="E6" s="27" t="n">
        <x:v>1</x:v>
      </x:c>
      <x:c r="F6" s="30" t="n">
        <x:v>2.55</x:v>
      </x:c>
      <x:c r="G6" s="30" t="n">
        <x:v>2.8</x:v>
      </x:c>
      <x:c r="H6" s="30" t="n">
        <x:f>E6*F6*G6</x:f>
        <x:v>7.139999999999999</x:v>
      </x:c>
      <x:c r="I6" s="27" t="str">
        <x:v>T2</x:v>
      </x:c>
      <x:c r="J6" s="27" t="str">
        <x:v>Hueco acotado</x:v>
      </x:c>
    </x:row>
    <x:row r="7" ht="25" customHeight="1">
      <x:c r="A7" s="28" t="str">
        <x:v>Planta primera</x:v>
      </x:c>
      <x:c r="B7" s="28" t="str">
        <x:v>A-102</x:v>
      </x:c>
      <x:c r="C7" s="28" t="str">
        <x:v>O-003</x:v>
      </x:c>
      <x:c r="D7" s="28" t="str">
        <x:v>Puerta</x:v>
      </x:c>
      <x:c r="E7" s="28" t="n">
        <x:v>1</x:v>
      </x:c>
      <x:c r="F7" s="47" t="n">
        <x:v>0.8</x:v>
      </x:c>
      <x:c r="G7" s="47" t="n">
        <x:v>2.4</x:v>
      </x:c>
      <x:c r="H7" s="47" t="n">
        <x:f>E7*F7*G7</x:f>
        <x:v>1.92</x:v>
      </x:c>
      <x:c r="I7" s="28" t="str">
        <x:v>T3</x:v>
      </x:c>
      <x:c r="J7" s="28" t="str">
        <x:v>Puerta P03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94ce78151b349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5" hidden="0" customWidth="1"/>
    <x:col min="3" max="3" width="28" hidden="0" customWidth="1"/>
    <x:col min="4" max="4" width="27" hidden="0" customWidth="1"/>
    <x:col min="5" max="5" width="27" hidden="0" customWidth="1"/>
  </x:cols>
  <x:sheetData>
    <x:row r="1" ht="34" customHeight="1">
      <x:c r="A1" s="3" t="str">
        <x:v>SUPUESTOS Y EXCLUSIONES</x:v>
      </x:c>
      <x:c r="B1" s="3" t="str">
        <x:v>SUPUESTOS Y EXCLUSIONES</x:v>
      </x:c>
      <x:c r="C1" s="3" t="str">
        <x:v>SUPUESTOS Y EXCLUSIONES</x:v>
      </x:c>
      <x:c r="D1" s="3" t="str">
        <x:v>SUPUESTOS Y EXCLUSIONES</x:v>
      </x:c>
      <x:c r="E1" s="3" t="str">
        <x:v>SUPUESTOS Y EXCLUSIONES</x:v>
      </x:c>
    </x:row>
    <x:row r="2" ht="26" customHeight="1">
      <x:c r="A2" s="6" t="str">
        <x:v>Toda condicion desconocida se documenta o se convierte en una aclaracion</x:v>
      </x:c>
      <x:c r="B2" s="6" t="str">
        <x:v>Toda condicion desconocida se documenta o se convierte en una aclaracion</x:v>
      </x:c>
      <x:c r="C2" s="6" t="str">
        <x:v>Toda condicion desconocida se documenta o se convierte en una aclaracion</x:v>
      </x:c>
      <x:c r="D2" s="6" t="str">
        <x:v>Toda condicion desconocida se documenta o se convierte en una aclaracion</x:v>
      </x:c>
      <x:c r="E2" s="6" t="str">
        <x:v>Toda condicion desconocida se documenta o se convierte en una aclaracion</x:v>
      </x:c>
    </x:row>
    <x:row r="4" ht="32" customHeight="1">
      <x:c r="A4" s="19" t="str">
        <x:v>Condicion poco clara</x:v>
      </x:c>
      <x:c r="B4" s="20" t="str">
        <x:v>Interpretacion utilizada</x:v>
      </x:c>
      <x:c r="C4" s="20" t="str">
        <x:v>Plano / zona afectada</x:v>
      </x:c>
      <x:c r="D4" s="20" t="str">
        <x:v>Confirmacion del cliente</x:v>
      </x:c>
      <x:c r="E4" s="21" t="str">
        <x:v>Tipo</x:v>
      </x:c>
    </x:row>
    <x:row r="5" ht="25" customHeight="1">
      <x:c r="A5" s="26" t="str">
        <x:v>Sin altura acotada en distribuidor P1</x:v>
      </x:c>
      <x:c r="B5" s="26" t="str">
        <x:v>Altura por defecto de 2,70 m</x:v>
      </x:c>
      <x:c r="C5" s="26" t="str">
        <x:v>A-102 / P-003</x:v>
      </x:c>
      <x:c r="D5" s="26" t="str">
        <x:v>Pendiente</x:v>
      </x:c>
      <x:c r="E5" s="26" t="str">
        <x:v>Supuesto</x:v>
      </x:c>
    </x:row>
    <x:row r="6" ht="25" customHeight="1">
      <x:c r="A6" s="27" t="str">
        <x:v>Revision 02 presente en paquete</x:v>
      </x:c>
      <x:c r="B6" s="27" t="str">
        <x:v>Se utiliza Rev.03; Rev.02 excluida</x:v>
      </x:c>
      <x:c r="C6" s="27" t="str">
        <x:v>A-101 y A-102</x:v>
      </x:c>
      <x:c r="D6" s="27" t="str">
        <x:v>Si</x:v>
      </x:c>
      <x:c r="E6" s="27" t="str">
        <x:v>Revision</x:v>
      </x:c>
    </x:row>
    <x:row r="7" ht="25" customHeight="1">
      <x:c r="A7" s="28" t="str">
        <x:v>Nucleo de ascensores fuera de pladur</x:v>
      </x:c>
      <x:c r="B7" s="28" t="str">
        <x:v>Zona no medida</x:v>
      </x:c>
      <x:c r="C7" s="28" t="str">
        <x:v>A-101 / nucleo central</x:v>
      </x:c>
      <x:c r="D7" s="28" t="str">
        <x:v>Si</x:v>
      </x:c>
      <x:c r="E7" s="28" t="str">
        <x:v>Exclusion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e4101d99e0b44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34" hidden="0" customWidth="1"/>
    <x:col min="5" max="5" width="23" hidden="0" customWidth="1"/>
  </x:cols>
  <x:sheetData>
    <x:row r="1" ht="34" customHeight="1">
      <x:c r="A1" s="3" t="str">
        <x:v>HISTORIAL DE REVISIONES</x:v>
      </x:c>
      <x:c r="B1" s="3" t="str">
        <x:v>HISTORIAL DE REVISIONES</x:v>
      </x:c>
      <x:c r="C1" s="3" t="str">
        <x:v>HISTORIAL DE REVISIONES</x:v>
      </x:c>
      <x:c r="D1" s="3" t="str">
        <x:v>HISTORIAL DE REVISIONES</x:v>
      </x:c>
      <x:c r="E1" s="3" t="str">
        <x:v>HISTORIAL DE REVISIONES</x:v>
      </x:c>
    </x:row>
    <x:row r="2" ht="26" customHeight="1">
      <x:c r="A2" s="6" t="str">
        <x:v>Cada entrega conserva su version y el motivo de los cambios</x:v>
      </x:c>
      <x:c r="B2" s="6" t="str">
        <x:v>Cada entrega conserva su version y el motivo de los cambios</x:v>
      </x:c>
      <x:c r="C2" s="6" t="str">
        <x:v>Cada entrega conserva su version y el motivo de los cambios</x:v>
      </x:c>
      <x:c r="D2" s="6" t="str">
        <x:v>Cada entrega conserva su version y el motivo de los cambios</x:v>
      </x:c>
      <x:c r="E2" s="6" t="str">
        <x:v>Cada entrega conserva su version y el motivo de los cambios</x:v>
      </x:c>
    </x:row>
    <x:row r="4" ht="32" customHeight="1">
      <x:c r="A4" s="19" t="str">
        <x:v>Version</x:v>
      </x:c>
      <x:c r="B4" s="20" t="str">
        <x:v>Fecha</x:v>
      </x:c>
      <x:c r="C4" s="20" t="str">
        <x:v>Motivo del cambio</x:v>
      </x:c>
      <x:c r="D4" s="20" t="str">
        <x:v>Elementos modificados</x:v>
      </x:c>
      <x:c r="E4" s="21" t="str">
        <x:v>Responsable</x:v>
      </x:c>
    </x:row>
    <x:row r="5" ht="25" customHeight="1">
      <x:c r="A5" s="48" t="n">
        <x:v>1</x:v>
      </x:c>
      <x:c r="B5" s="49" t="n">
        <x:v>46263</x:v>
      </x:c>
      <x:c r="C5" s="48" t="str">
        <x:v>Entrega inicial</x:v>
      </x:c>
      <x:c r="D5" s="48" t="str">
        <x:v>Medicion completa</x:v>
      </x:c>
      <x:c r="E5" s="48" t="str">
        <x:v>Equipo Cuadrabot</x:v>
      </x:c>
    </x:row>
  </x:sheetData>
  <x:mergeCells>
    <x:mergeCell ref="A1:E1"/>
    <x:mergeCell ref="A2:E2"/>
  </x:mergeCells>
  <x:pageMargins left="0.7" right="0.7" top="0.75" bottom="0.75" header="0.3" footer="0.3"/>
</x:worksheet>
</file>